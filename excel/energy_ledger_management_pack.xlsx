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3cb871187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2d3bc6b0b724730"/>
    <x:sheet xmlns:r="http://schemas.openxmlformats.org/officeDocument/2006/relationships" name="Scenario" sheetId="2" r:id="R3e9223dd2737430a"/>
    <x:sheet xmlns:r="http://schemas.openxmlformats.org/officeDocument/2006/relationships" name="Exceptions" sheetId="3" r:id="Rec225446470349f8"/>
    <x:sheet xmlns:r="http://schemas.openxmlformats.org/officeDocument/2006/relationships" name="Monthly KPI" sheetId="4" r:id="R636e39ac03014fd9"/>
    <x:sheet xmlns:r="http://schemas.openxmlformats.org/officeDocument/2006/relationships" name="Data Quality" sheetId="5" r:id="Rd37bf76b53634293"/>
    <x:sheet xmlns:r="http://schemas.openxmlformats.org/officeDocument/2006/relationships" name="Invoice Detail" sheetId="6" r:id="R2afcd7c2e7df4c19"/>
    <x:sheet xmlns:r="http://schemas.openxmlformats.org/officeDocument/2006/relationships" name="Definitions" sheetId="7" r:id="Rbd98e22d570a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0.0"/>
    <x:numFmt numFmtId="202" formatCode="₹#,##0"/>
    <x:numFmt numFmtId="203" formatCode="0.0%"/>
    <x:numFmt numFmtId="204" formatCode="₹#,##0;[Red](₹#,##0);-"/>
    <x:numFmt numFmtId="205" formatCode="#,#0"/>
    <x:numFmt numFmtId="206" formatCode="#,##0.0"/>
    <x:numFmt numFmtId="207" formatCode="mmm-yy"/>
    <x:numFmt numFmtId="208" formatCode="0.0"/>
  </x:numFmts>
  <x:fonts count="5">
    <x:font>
      <x:sz val="11"/>
      <x:name val="Carlito"/>
    </x:font>
    <x:font>
      <x:sz val="10"/>
      <x:color rgb="FF1F1F1F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>
      <x:bottom style="medium">
        <x:color rgb="FF1F4E7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3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8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6697fe5d2429e" /><Relationship Type="http://schemas.openxmlformats.org/officeDocument/2006/relationships/theme" Target="/xl/theme/theme1.xml" Id="R0b7b9c8dd738471c" /><Relationship Type="http://schemas.openxmlformats.org/officeDocument/2006/relationships/sharedStrings" Target="/xl/sharedStrings.xml" Id="Racfad9f48cf3464d" /><Relationship Type="http://schemas.openxmlformats.org/officeDocument/2006/relationships/worksheet" Target="/xl/worksheets/sheet1.xml" Id="Rf2d3bc6b0b724730" /><Relationship Type="http://schemas.openxmlformats.org/officeDocument/2006/relationships/worksheet" Target="/xl/worksheets/sheet2.xml" Id="R3e9223dd2737430a" /><Relationship Type="http://schemas.openxmlformats.org/officeDocument/2006/relationships/worksheet" Target="/xl/worksheets/sheet3.xml" Id="Rec225446470349f8" /><Relationship Type="http://schemas.openxmlformats.org/officeDocument/2006/relationships/worksheet" Target="/xl/worksheets/sheet4.xml" Id="R636e39ac03014fd9" /><Relationship Type="http://schemas.openxmlformats.org/officeDocument/2006/relationships/worksheet" Target="/xl/worksheets/sheet5.xml" Id="Rd37bf76b53634293" /><Relationship Type="http://schemas.openxmlformats.org/officeDocument/2006/relationships/worksheet" Target="/xl/worksheets/sheet6.xml" Id="R2afcd7c2e7df4c19" /><Relationship Type="http://schemas.openxmlformats.org/officeDocument/2006/relationships/worksheet" Target="/xl/worksheets/sheet7.xml" Id="Rbd98e22d570a44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1a421ff89c44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and 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Base actual</c:v>
          </c:tx>
          <c:cat>
            <c:strRef>
              <c:f>'Executive Summary'!$A$14:$A$15</c:f>
              <c:strCache>
                <c:ptCount val="0"/>
              </c:strCache>
            </c:strRef>
          </c:cat>
          <c:val>
            <c:numRef>
              <c:f>'Executive Summary'!$B$14:$B$15</c:f>
              <c:numCache>
                <c:formatCode>#,#0</c:formatCode>
                <c:ptCount val="0"/>
              </c:numCache>
            </c:numRef>
          </c:val>
        </c:ser>
        <c:ser>
          <c:idx val="1"/>
          <c:order val="1"/>
          <c:tx>
            <c:v>Scenario</c:v>
          </c:tx>
          <c:cat>
            <c:strRef>
              <c:f>'Executive Summary'!$A$14:$A$15</c:f>
              <c:strCache>
                <c:ptCount val="0"/>
              </c:strCache>
            </c:strRef>
          </c:cat>
          <c:val>
            <c:numRef>
              <c:f>'Executive Summary'!$C$14:$C$15</c:f>
              <c:numCache>
                <c:formatCode>#,#0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1a421ff89c44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1e7d1ad03a41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Energy Ledger executive overview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August 2026 utility invoices. INR totals are local currency. Use slicers in Power BI for interactive site and fuel analysis.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KPI</x:v>
      </x:c>
      <x:c r="B6" s="8" t="str">
        <x:v>Actual</x:v>
      </x:c>
      <x:c r="C6" s="8" t="str">
        <x:v>Target</x:v>
      </x:c>
      <x:c r="D6" s="8" t="str">
        <x:v>Status</x:v>
      </x:c>
      <x:c r="E6" s="8" t="str">
        <x:v>KPI</x:v>
      </x:c>
      <x:c r="F6" s="8" t="str">
        <x:v>Actual</x:v>
      </x:c>
      <x:c r="G6" s="8" t="str">
        <x:v>Target</x:v>
      </x:c>
      <x:c r="H6" s="8" t="str">
        <x:v>Status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Invoice cost (INR)</x:v>
      </x:c>
      <x:c r="B7" s="14" t="n">
        <x:f>ROUND(SUM('Invoice Detail'!$K$7:$K$12),0)</x:f>
        <x:v>594750</x:v>
      </x:c>
      <x:c r="C7" s="14" t="n">
        <x:v>600000</x:v>
      </x:c>
      <x:c r="D7" s="1" t="str">
        <x:f>IF(B7&lt;=C7,"Within target","Above target")</x:f>
        <x:v>Within target</x:v>
      </x:c>
      <x:c r="E7" s="1" t="str">
        <x:v>Energy (kWh)</x:v>
      </x:c>
      <x:c r="F7" s="15" t="n">
        <x:f>ROUND(SUM('Invoice Detail'!$J$7:$J$12),0)</x:f>
        <x:v>230989</x:v>
      </x:c>
      <x:c r="G7" s="15" t="n">
        <x:v>230000</x:v>
      </x:c>
      <x:c r="H7" s="1" t="str">
        <x:f>IF(F7&lt;=G7,"Within target","Above target")</x:f>
        <x:v>Above target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Emissions (tCO2e)</x:v>
      </x:c>
      <x:c r="B8" s="16" t="n">
        <x:f>ROUND(SUM('Invoice Detail'!$L$7:$L$12)/1000,1)</x:f>
        <x:v>68</x:v>
      </x:c>
      <x:c r="C8" s="16" t="n">
        <x:v>70</x:v>
      </x:c>
      <x:c r="D8" s="1" t="str">
        <x:f>IF(B8&lt;=C8,"Within target","Above target")</x:f>
        <x:v>Within target</x:v>
      </x:c>
      <x:c r="E8" s="1" t="str">
        <x:v>Bill-meter variance</x:v>
      </x:c>
      <x:c r="F8" s="17" t="n">
        <x:v>0.0246</x:v>
      </x:c>
      <x:c r="G8" s="17" t="n">
        <x:v>0.05</x:v>
      </x:c>
      <x:c r="H8" s="1" t="str">
        <x:f>IF(F8&lt;=G8,"Within target","Above threshold")</x:f>
        <x:v>Within target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High meter anomalies</x:v>
      </x:c>
      <x:c r="B9" s="15" t="n">
        <x:v>1</x:v>
      </x:c>
      <x:c r="C9" s="15" t="n">
        <x:v>0</x:v>
      </x:c>
      <x:c r="D9" s="1" t="str">
        <x:f>IF(B9=0,"Clear","Review")</x:f>
        <x:v>Review</x:v>
      </x:c>
      <x:c r="E9" s="1" t="str">
        <x:v>Data-quality controls</x:v>
      </x:c>
      <x:c r="F9" s="15" t="n">
        <x:v>8</x:v>
      </x:c>
      <x:c r="G9" s="15" t="n">
        <x:v>8</x:v>
      </x:c>
      <x:c r="H9" s="1" t="str">
        <x:f>IF(F9=G9,"Complete","Investigate")</x:f>
        <x:v>Complete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8" t="str">
        <x:v>Scenario output</x:v>
      </x:c>
      <x:c r="B13" s="8" t="str">
        <x:v>Base actual</x:v>
      </x:c>
      <x:c r="C13" s="8" t="str">
        <x:v>Scenario</x:v>
      </x:c>
      <x:c r="D13" s="8" t="str">
        <x:v>Change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Energy (kWh)</x:v>
      </x:c>
      <x:c r="B14" s="15" t="n">
        <x:f>F7</x:f>
        <x:v>230989</x:v>
      </x:c>
      <x:c r="C14" s="15" t="n">
        <x:f>B14*(1+Scenario!$B$7)</x:f>
        <x:v>230989</x:v>
      </x:c>
      <x:c r="D14" s="15" t="n">
        <x:f>C14-B14</x:f>
        <x:v>0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Invoice cost (INR)</x:v>
      </x:c>
      <x:c r="B15" s="14" t="n">
        <x:f>B7</x:f>
        <x:v>594750</x:v>
      </x:c>
      <x:c r="C15" s="14" t="n">
        <x:f>B15*(1+Scenario!$B$7)*(1+Scenario!$B$8)</x:f>
        <x:v>594750</x:v>
      </x:c>
      <x:c r="D15" s="14" t="n">
        <x:f>C15-B15</x:f>
        <x:v>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conditionalFormatting sqref="D7:D9">
    <x:cfRule type="containsText" dxfId="0" priority="1" operator="containsText" text="Above"/>
  </x:conditionalFormatting>
  <x:conditionalFormatting sqref="H7:H9">
    <x:cfRule type="containsText" dxfId="1" priority="2" operator="containsText" text="Within"/>
  </x:conditionalFormatting>
  <x:pageMargins left="0.7" right="0.7" top="0.75" bottom="0.75" header="0.3" footer="0.3"/>
  <x:drawing xmlns:r="http://schemas.openxmlformats.org/officeDocument/2006/relationships" r:id="R561e7d1ad03a41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Scenario controls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Edit the highlighted controls to review a rate and consumption sensitivity against August 2026 actuals.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Control</x:v>
      </x:c>
      <x:c r="B6" s="8" t="str">
        <x:v>Value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Consumption change</x:v>
      </x:c>
      <x:c r="B7" s="13" t="n">
        <x:v>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Unit-cost change</x:v>
      </x:c>
      <x:c r="B8" s="13" t="n">
        <x:v>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Variance alert threshold</x:v>
      </x:c>
      <x:c r="B9" s="13" t="n">
        <x:v>0.05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Scenario notes</x:v>
      </x:c>
      <x:c r="B10" s="1" t="str">
        <x:v>Base case is actual August 2026 consumption and invoice cost.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dataValidations count="1">
    <x:dataValidation type="decimal" operator="between" sqref="B7:B9">
      <x:formula1>-0.5</x:formula1>
      <x:formula2>0.5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20" hidden="0" customWidth="1"/>
    <x:col min="5" max="5" width="14" hidden="0" customWidth="1"/>
    <x:col min="6" max="6" width="18" hidden="0" customWidth="1"/>
    <x:col min="7" max="7" width="24" hidden="0" customWidth="1"/>
    <x:col min="8" max="8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Exceptions and drill-through detail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Prioritize rate, bill-to-meter, and consumption anomaly findings. Detailed resolution workflow belongs in the governed source system.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Priority</x:v>
      </x:c>
      <x:c r="B6" s="8" t="str">
        <x:v>Finding</x:v>
      </x:c>
      <x:c r="C6" s="8" t="str">
        <x:v>Site</x:v>
      </x:c>
      <x:c r="D6" s="8" t="str">
        <x:v>Account / meter</x:v>
      </x:c>
      <x:c r="E6" s="8" t="str">
        <x:v>Period end</x:v>
      </x:c>
      <x:c r="F6" s="8" t="str">
        <x:v>Variance / robust z</x:v>
      </x:c>
      <x:c r="G6" s="8" t="str">
        <x:v>Status</x:v>
      </x:c>
      <x:c r="H6" s="8" t="str">
        <x:v>Recommended action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High</x:v>
      </x:c>
      <x:c r="B7" s="20" t="str">
        <x:v>Meter consumption anomaly</x:v>
      </x:c>
      <x:c r="C7" s="20" t="str">
        <x:v>Bengaluru HQ</x:v>
      </x:c>
      <x:c r="D7" s="20" t="str">
        <x:v>MTR-BLR-E1</x:v>
      </x:c>
      <x:c r="E7" s="21" t="n">
        <x:v>46295</x:v>
      </x:c>
      <x:c r="F7" s="22" t="n">
        <x:v>96.3186</x:v>
      </x:c>
      <x:c r="G7" s="20" t="str">
        <x:v>anomaly_high</x:v>
      </x:c>
      <x:c r="H7" s="20" t="str">
        <x:v>Validate reading, operating hours, and meter health before action.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Review</x:v>
      </x:c>
      <x:c r="B8" s="1" t="str">
        <x:v>Bill versus meter</x:v>
      </x:c>
      <x:c r="C8" s="1" t="str">
        <x:v>Bengaluru HQ</x:v>
      </x:c>
      <x:c r="D8" s="1" t="str">
        <x:v>ELEC-7781</x:v>
      </x:c>
      <x:c r="E8" s="9" t="n">
        <x:v>46265</x:v>
      </x:c>
      <x:c r="F8" s="17" t="n">
        <x:v>0.0246</x:v>
      </x:c>
      <x:c r="G8" s="1" t="str">
        <x:v>within_5pct_tolerance</x:v>
      </x:c>
      <x:c r="H8" s="1" t="str">
        <x:v>Retain as reconciled. Escalate only if threshold changes.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Monthly KPI and reporting model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Power BI import grain: site, energy type, billing month, currency. Current source contains one published month.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Billing month</x:v>
      </x:c>
      <x:c r="B6" s="8" t="str">
        <x:v>Site</x:v>
      </x:c>
      <x:c r="C6" s="8" t="str">
        <x:v>Energy type</x:v>
      </x:c>
      <x:c r="D6" s="8" t="str">
        <x:v>Currency</x:v>
      </x:c>
      <x:c r="E6" s="8" t="str">
        <x:v>Invoice lines</x:v>
      </x:c>
      <x:c r="F6" s="8" t="str">
        <x:v>Energy kWh</x:v>
      </x:c>
      <x:c r="G6" s="8" t="str">
        <x:v>Invoice amount</x:v>
      </x:c>
      <x:c r="H6" s="8" t="str">
        <x:v>Emissions tCO2e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" t="n">
        <x:v>46235</x:v>
      </x:c>
      <x:c r="B7" s="1" t="str">
        <x:v>Bengaluru HQ</x:v>
      </x:c>
      <x:c r="C7" s="1" t="str">
        <x:v>electricity</x:v>
      </x:c>
      <x:c r="D7" s="1" t="str">
        <x:v>INR</x:v>
      </x:c>
      <x:c r="E7" s="1" t="n">
        <x:v>1</x:v>
      </x:c>
      <x:c r="F7" s="15" t="n">
        <x:v>12500</x:v>
      </x:c>
      <x:c r="G7" s="11" t="n">
        <x:v>156250</x:v>
      </x:c>
      <x:c r="H7" s="16" t="n">
        <x:v>8.85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n">
        <x:v>46235</x:v>
      </x:c>
      <x:c r="B8" s="1" t="str">
        <x:v>Bengaluru HQ</x:v>
      </x:c>
      <x:c r="C8" s="1" t="str">
        <x:v>natural_gas</x:v>
      </x:c>
      <x:c r="D8" s="1" t="str">
        <x:v>INR</x:v>
      </x:c>
      <x:c r="E8" s="1" t="n">
        <x:v>1</x:v>
      </x:c>
      <x:c r="F8" s="15" t="n">
        <x:v>119444.44454</x:v>
      </x:c>
      <x:c r="G8" s="11" t="n">
        <x:v>43000</x:v>
      </x:c>
      <x:c r="H8" s="16" t="n">
        <x:v>24.1278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n">
        <x:v>46235</x:v>
      </x:c>
      <x:c r="B9" s="1" t="str">
        <x:v>Bengaluru Distribution Centre</x:v>
      </x:c>
      <x:c r="C9" s="1" t="str">
        <x:v>electricity</x:v>
      </x:c>
      <x:c r="D9" s="1" t="str">
        <x:v>INR</x:v>
      </x:c>
      <x:c r="E9" s="1" t="n">
        <x:v>1</x:v>
      </x:c>
      <x:c r="F9" s="15" t="n">
        <x:v>18600</x:v>
      </x:c>
      <x:c r="G9" s="11" t="n">
        <x:v>232500</x:v>
      </x:c>
      <x:c r="H9" s="16" t="n">
        <x:v>13.1688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n">
        <x:v>46235</x:v>
      </x:c>
      <x:c r="B10" s="1" t="str">
        <x:v>Bengaluru Distribution Centre</x:v>
      </x:c>
      <x:c r="C10" s="1" t="str">
        <x:v>natural_gas</x:v>
      </x:c>
      <x:c r="D10" s="1" t="str">
        <x:v>INR</x:v>
      </x:c>
      <x:c r="E10" s="1" t="n">
        <x:v>1</x:v>
      </x:c>
      <x:c r="F10" s="15" t="n">
        <x:v>69444.4445</x:v>
      </x:c>
      <x:c r="G10" s="11" t="n">
        <x:v>25500</x:v>
      </x:c>
      <x:c r="H10" s="16" t="n">
        <x:v>14.0278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n">
        <x:v>46235</x:v>
      </x:c>
      <x:c r="B11" s="1" t="str">
        <x:v>Delhi Sales Office</x:v>
      </x:c>
      <x:c r="C11" s="1" t="str">
        <x:v>electricity</x:v>
      </x:c>
      <x:c r="D11" s="1" t="str">
        <x:v>INR</x:v>
      </x:c>
      <x:c r="E11" s="1" t="n">
        <x:v>2</x:v>
      </x:c>
      <x:c r="F11" s="15" t="n">
        <x:v>11000</x:v>
      </x:c>
      <x:c r="G11" s="11" t="n">
        <x:v>137500</x:v>
      </x:c>
      <x:c r="H11" s="16" t="n">
        <x:v>7.788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Data quality controls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Latest pipeline quality report. Controls should be refreshed from reports/data_quality_report.md after each model load.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Control</x:v>
      </x:c>
      <x:c r="B6" s="8" t="str">
        <x:v>Result</x:v>
      </x:c>
      <x:c r="C6" s="8" t="str">
        <x:v>Evidence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Required columns</x:v>
      </x:c>
      <x:c r="B7" s="23" t="str">
        <x:v>PASS</x:v>
      </x:c>
      <x:c r="C7" s="1" t="str">
        <x:v>All four raw sources contain required columns.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Null threshold</x:v>
      </x:c>
      <x:c r="B8" s="23" t="str">
        <x:v>PASS</x:v>
      </x:c>
      <x:c r="C8" s="1" t="str">
        <x:v>0 nulls in required fields.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Duplicate business keys</x:v>
      </x:c>
      <x:c r="B9" s="23" t="str">
        <x:v>PASS</x:v>
      </x:c>
      <x:c r="C9" s="1" t="str">
        <x:v>6 unique invoice lines.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Invalid ranges</x:v>
      </x:c>
      <x:c r="B10" s="23" t="str">
        <x:v>PASS</x:v>
      </x:c>
      <x:c r="C10" s="1" t="str">
        <x:v>Positive quantities and valid intervals.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Referential integrity</x:v>
      </x:c>
      <x:c r="B11" s="23" t="str">
        <x:v>PASS</x:v>
      </x:c>
      <x:c r="C11" s="1" t="str">
        <x:v>All invoices resolve to site and factor.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Freshness</x:v>
      </x:c>
      <x:c r="B12" s="23" t="str">
        <x:v>PASS</x:v>
      </x:c>
      <x:c r="C12" s="1" t="str">
        <x:v>Latest invoice within 45 days of run date.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Row reconciliation</x:v>
      </x:c>
      <x:c r="B13" s="23" t="str">
        <x:v>PASS</x:v>
      </x:c>
      <x:c r="C13" s="1" t="str">
        <x:v>6 raw invoice rows equal 6 fact rows.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Value reconciliation</x:v>
      </x:c>
      <x:c r="B14" s="23" t="str">
        <x:v>PASS</x:v>
      </x:c>
      <x:c r="C14" s="1" t="str">
        <x:v>₹594,750 raw equals loaded fact value.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0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Invoice detail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Curated invoice lines from the Energy Ledger SQLite model. Refresh source queries before management use.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Invoice line</x:v>
      </x:c>
      <x:c r="B6" s="8" t="str">
        <x:v>Site</x:v>
      </x:c>
      <x:c r="C6" s="8" t="str">
        <x:v>Account</x:v>
      </x:c>
      <x:c r="D6" s="8" t="str">
        <x:v>Billing start</x:v>
      </x:c>
      <x:c r="E6" s="8" t="str">
        <x:v>Billing end</x:v>
      </x:c>
      <x:c r="F6" s="8" t="str">
        <x:v>Invoice date</x:v>
      </x:c>
      <x:c r="G6" s="8" t="str">
        <x:v>Native quantity</x:v>
      </x:c>
      <x:c r="H6" s="8" t="str">
        <x:v>Unit</x:v>
      </x:c>
      <x:c r="I6" s="8" t="str">
        <x:v>Energy type</x:v>
      </x:c>
      <x:c r="J6" s="8" t="str">
        <x:v>kWh equivalent</x:v>
      </x:c>
      <x:c r="K6" s="8" t="str">
        <x:v>Invoice amount (INR)</x:v>
      </x:c>
      <x:c r="L6" s="8" t="str">
        <x:v>Emissions kgCO2e</x:v>
      </x:c>
      <x:c r="M6" s="8" t="str">
        <x:v>Factor ID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INV-1001-01</x:v>
      </x:c>
      <x:c r="B7" s="1" t="str">
        <x:v>Bengaluru HQ</x:v>
      </x:c>
      <x:c r="C7" s="1" t="str">
        <x:v>ELEC-7781</x:v>
      </x:c>
      <x:c r="D7" s="9" t="n">
        <x:v>46235</x:v>
      </x:c>
      <x:c r="E7" s="9" t="n">
        <x:v>46265</x:v>
      </x:c>
      <x:c r="F7" s="9" t="n">
        <x:v>46268</x:v>
      </x:c>
      <x:c r="G7" s="10" t="n">
        <x:v>12500</x:v>
      </x:c>
      <x:c r="H7" s="1" t="str">
        <x:v>KWH</x:v>
      </x:c>
      <x:c r="I7" s="1" t="str">
        <x:v>electricity</x:v>
      </x:c>
      <x:c r="J7" s="10" t="n">
        <x:v>12500</x:v>
      </x:c>
      <x:c r="K7" s="11" t="n">
        <x:v>156250</x:v>
      </x:c>
      <x:c r="L7" s="10" t="n">
        <x:v>8850</x:v>
      </x:c>
      <x:c r="M7" s="1" t="str">
        <x:v>IN-GRID-2026-v1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INV-1002-01</x:v>
      </x:c>
      <x:c r="B8" s="1" t="str">
        <x:v>Bengaluru Distribution Centre</x:v>
      </x:c>
      <x:c r="C8" s="1" t="str">
        <x:v>ELEC-7782</x:v>
      </x:c>
      <x:c r="D8" s="9" t="n">
        <x:v>46235</x:v>
      </x:c>
      <x:c r="E8" s="9" t="n">
        <x:v>46265</x:v>
      </x:c>
      <x:c r="F8" s="9" t="n">
        <x:v>46268</x:v>
      </x:c>
      <x:c r="G8" s="10" t="n">
        <x:v>18600</x:v>
      </x:c>
      <x:c r="H8" s="1" t="str">
        <x:v>KWH</x:v>
      </x:c>
      <x:c r="I8" s="1" t="str">
        <x:v>electricity</x:v>
      </x:c>
      <x:c r="J8" s="10" t="n">
        <x:v>18600</x:v>
      </x:c>
      <x:c r="K8" s="11" t="n">
        <x:v>232500</x:v>
      </x:c>
      <x:c r="L8" s="10" t="n">
        <x:v>13168.8</x:v>
      </x:c>
      <x:c r="M8" s="1" t="str">
        <x:v>IN-GRID-2026-v1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INV-1003-01</x:v>
      </x:c>
      <x:c r="B9" s="1" t="str">
        <x:v>Delhi Sales Office</x:v>
      </x:c>
      <x:c r="C9" s="1" t="str">
        <x:v>ELEC-7783</x:v>
      </x:c>
      <x:c r="D9" s="9" t="n">
        <x:v>46235</x:v>
      </x:c>
      <x:c r="E9" s="9" t="n">
        <x:v>46265</x:v>
      </x:c>
      <x:c r="F9" s="9" t="n">
        <x:v>46269</x:v>
      </x:c>
      <x:c r="G9" s="10" t="n">
        <x:v>5400</x:v>
      </x:c>
      <x:c r="H9" s="1" t="str">
        <x:v>KWH</x:v>
      </x:c>
      <x:c r="I9" s="1" t="str">
        <x:v>electricity</x:v>
      </x:c>
      <x:c r="J9" s="10" t="n">
        <x:v>5400</x:v>
      </x:c>
      <x:c r="K9" s="11" t="n">
        <x:v>67500</x:v>
      </x:c>
      <x:c r="L9" s="10" t="n">
        <x:v>3823.2</x:v>
      </x:c>
      <x:c r="M9" s="1" t="str">
        <x:v>IN-GRID-2026-v1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INV-1004-01</x:v>
      </x:c>
      <x:c r="B10" s="1" t="str">
        <x:v>Bengaluru HQ</x:v>
      </x:c>
      <x:c r="C10" s="1" t="str">
        <x:v>GAS-4811</x:v>
      </x:c>
      <x:c r="D10" s="9" t="n">
        <x:v>46235</x:v>
      </x:c>
      <x:c r="E10" s="9" t="n">
        <x:v>46265</x:v>
      </x:c>
      <x:c r="F10" s="9" t="n">
        <x:v>46269</x:v>
      </x:c>
      <x:c r="G10" s="10" t="n">
        <x:v>430</x:v>
      </x:c>
      <x:c r="H10" s="1" t="str">
        <x:v>GJ</x:v>
      </x:c>
      <x:c r="I10" s="1" t="str">
        <x:v>natural_gas</x:v>
      </x:c>
      <x:c r="J10" s="10" t="n">
        <x:v>119444.44454</x:v>
      </x:c>
      <x:c r="K10" s="11" t="n">
        <x:v>43000</x:v>
      </x:c>
      <x:c r="L10" s="10" t="n">
        <x:v>24127.777797</x:v>
      </x:c>
      <x:c r="M10" s="1" t="str">
        <x:v>IN-GAS-2026-v1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INV-1005-01</x:v>
      </x:c>
      <x:c r="B11" s="1" t="str">
        <x:v>Bengaluru Distribution Centre</x:v>
      </x:c>
      <x:c r="C11" s="1" t="str">
        <x:v>GAS-4812</x:v>
      </x:c>
      <x:c r="D11" s="9" t="n">
        <x:v>46235</x:v>
      </x:c>
      <x:c r="E11" s="9" t="n">
        <x:v>46265</x:v>
      </x:c>
      <x:c r="F11" s="9" t="n">
        <x:v>46269</x:v>
      </x:c>
      <x:c r="G11" s="10" t="n">
        <x:v>250</x:v>
      </x:c>
      <x:c r="H11" s="1" t="str">
        <x:v>GJ</x:v>
      </x:c>
      <x:c r="I11" s="1" t="str">
        <x:v>natural_gas</x:v>
      </x:c>
      <x:c r="J11" s="10" t="n">
        <x:v>69444.4445</x:v>
      </x:c>
      <x:c r="K11" s="11" t="n">
        <x:v>25500</x:v>
      </x:c>
      <x:c r="L11" s="10" t="n">
        <x:v>14027.777789</x:v>
      </x:c>
      <x:c r="M11" s="1" t="str">
        <x:v>IN-GAS-2026-v1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INV-1006-01</x:v>
      </x:c>
      <x:c r="B12" s="1" t="str">
        <x:v>Delhi Sales Office</x:v>
      </x:c>
      <x:c r="C12" s="1" t="str">
        <x:v>ELEC-7783</x:v>
      </x:c>
      <x:c r="D12" s="9" t="n">
        <x:v>46235</x:v>
      </x:c>
      <x:c r="E12" s="9" t="n">
        <x:v>46265</x:v>
      </x:c>
      <x:c r="F12" s="9" t="n">
        <x:v>46270</x:v>
      </x:c>
      <x:c r="G12" s="10" t="n">
        <x:v>5600</x:v>
      </x:c>
      <x:c r="H12" s="1" t="str">
        <x:v>KWH</x:v>
      </x:c>
      <x:c r="I12" s="1" t="str">
        <x:v>electricity</x:v>
      </x:c>
      <x:c r="J12" s="10" t="n">
        <x:v>5600</x:v>
      </x:c>
      <x:c r="K12" s="11" t="n">
        <x:v>70000</x:v>
      </x:c>
      <x:c r="L12" s="10" t="n">
        <x:v>3964.8</x:v>
      </x:c>
      <x:c r="M12" s="1" t="str">
        <x:v>IN-GRID-2026-v1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Definitions and refresh help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Use this sheet for report definitions, Power BI model loading instructions, and workbook refresh controls.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8" t="str">
        <x:v>Item</x:v>
      </x:c>
      <x:c r="B6" s="8" t="str">
        <x:v>Definition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" t="str">
        <x:v>Date table</x:v>
      </x:c>
      <x:c r="B7" s="24" t="str">
        <x:v>Use a dedicated calendar date table related to billing-end, billing-start, and invoice-date roles. Set billing-end as the active reporting relationship.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1" t="str">
        <x:v>Core measures</x:v>
      </x:c>
      <x:c r="B8" s="24" t="str">
        <x:v>Invoice cost, energy kWh, emissions tCO2e, cost per kWh, energy intensity, bill-meter variance, anomaly count, and data-quality pass count.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" t="str">
        <x:v>Power BI slicers</x:v>
      </x:c>
      <x:c r="B9" s="24" t="str">
        <x:v>Billing month, site, energy type, utility account, currency, anomaly status, and reconciliation status.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" t="str">
        <x:v>Power BI pages</x:v>
      </x:c>
      <x:c r="B10" s="24" t="str">
        <x:v>Executive overview, diagnostics, trend, invoice/meter detail, data quality, and definitions/help.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" t="str">
        <x:v>Excel refresh</x:v>
      </x:c>
      <x:c r="B11" s="24" t="str">
        <x:v>Replace Invoice Detail and Monthly KPI query outputs from the SQLite views. Refresh formulas and charts after loading.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" t="str">
        <x:v>Exception target</x:v>
      </x:c>
      <x:c r="B12" s="24" t="str">
        <x:v>Bill-meter variance above 5% is high. Robust z above 3.5 is an anomaly after six prior periods.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" t="str">
        <x:v>Source system</x:v>
      </x:c>
      <x:c r="B13" s="24" t="str">
        <x:v>data/energy_ledger.db views: v_monthly_site_energy_kpis, v_bill_meter_variance, v_meter_anomaly, v_reconciliation_source_to_reporting.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4" hidden="0" customHeight="1">
      <x:c r="A14" s="1" t="str">
        <x:v>Power Query</x:v>
      </x:c>
      <x:c r="B14" s="24" t="str">
        <x:v>Use the supplied powerbi/sqlite_import_queries.sql as the governed extract definition. Excel’s native SQLite connector or ODBC driver is required for live refresh.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"/>
      <x:c r="B15" s="24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</x:worksheet>
</file>